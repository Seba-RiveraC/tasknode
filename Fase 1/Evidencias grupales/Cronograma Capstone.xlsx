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ed3d0107b9a588e/Escritorio/Capstone/tasknode/Fase 1/Evidencias grupales/"/>
    </mc:Choice>
  </mc:AlternateContent>
  <xr:revisionPtr revIDLastSave="1" documentId="11_D90711F66758B6CB4EB69F873CBD17F7671CE94C" xr6:coauthVersionLast="47" xr6:coauthVersionMax="47" xr10:uidLastSave="{D8B97482-095E-44A3-BE51-1A16CCB7945E}"/>
  <bookViews>
    <workbookView xWindow="1116" yWindow="1116" windowWidth="17280" windowHeight="8880" tabRatio="500" xr2:uid="{00000000-000D-0000-FFFF-FFFF00000000}"/>
  </bookViews>
  <sheets>
    <sheet name="Carta Gant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3" i="1" l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</calcChain>
</file>

<file path=xl/sharedStrings.xml><?xml version="1.0" encoding="utf-8"?>
<sst xmlns="http://schemas.openxmlformats.org/spreadsheetml/2006/main" count="190" uniqueCount="89">
  <si>
    <t>Gestión de Proyecto con Carta Gantt</t>
  </si>
  <si>
    <t>Nombre del Proyecto</t>
  </si>
  <si>
    <t>TaskNode - Sistema de Gestión Operativa en Terreno</t>
  </si>
  <si>
    <t>Director(a) del Proyecto</t>
  </si>
  <si>
    <t>Sebastian Rivera</t>
  </si>
  <si>
    <t>Nombre Empresa Cliente</t>
  </si>
  <si>
    <t>__</t>
  </si>
  <si>
    <t>Fecha de Inicio de Formulación</t>
  </si>
  <si>
    <t>IDENTIFICADOR</t>
  </si>
  <si>
    <t>NOMBRE</t>
  </si>
  <si>
    <t>DUEÑO DE</t>
  </si>
  <si>
    <t>FECHA DE</t>
  </si>
  <si>
    <t>DURACIÓN</t>
  </si>
  <si>
    <t>PORCENTAJE COMPLETADO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</si>
  <si>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</si>
  <si>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</si>
  <si>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</si>
  <si>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</si>
  <si>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</si>
  <si>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</si>
  <si>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</si>
  <si>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</si>
  <si>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</si>
  <si>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</si>
  <si>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</si>
  <si>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</si>
  <si>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</si>
  <si>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</si>
  <si>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</si>
  <si>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</si>
  <si>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</si>
  <si>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L</t>
  </si>
  <si>
    <t>MA</t>
  </si>
  <si>
    <t>MI</t>
  </si>
  <si>
    <t>J</t>
  </si>
  <si>
    <t>V</t>
  </si>
  <si>
    <t>0</t>
  </si>
  <si>
    <t>FASE 0: Formulación y Propuesta</t>
  </si>
  <si>
    <t>Equipo</t>
  </si>
  <si>
    <t>0.1</t>
  </si>
  <si>
    <t>Levantamiento de Requerimientos y Definición de Alcance MVP</t>
  </si>
  <si>
    <t>0.2</t>
  </si>
  <si>
    <t>Definición de Metodología Ágil (Scrum) y Herramientas de Trabajo</t>
  </si>
  <si>
    <t>0.3</t>
  </si>
  <si>
    <t>Elaboración de Matriz RACI y Plan de Trabajo (Cronograma)</t>
  </si>
  <si>
    <t>Jefe de Proyecto</t>
  </si>
  <si>
    <t>0.4</t>
  </si>
  <si>
    <t>Dev. Frontend</t>
  </si>
  <si>
    <t>0.5</t>
  </si>
  <si>
    <t>Preparación y Presentación de la Propuesta (Defensa)</t>
  </si>
  <si>
    <t>1</t>
  </si>
  <si>
    <t>FASE 1: Fundaciones y Arquitectura Base</t>
  </si>
  <si>
    <t>1.1</t>
  </si>
  <si>
    <t>Configuración del Entorno, Repositorio y CI/CD</t>
  </si>
  <si>
    <t>Líder Técnico</t>
  </si>
  <si>
    <t>1.2</t>
  </si>
  <si>
    <t>Diseño del Modelo Entidad-Relación y Multi-Tenant</t>
  </si>
  <si>
    <t>1.3</t>
  </si>
  <si>
    <t>Setup de Base de Datos (PostgreSQL) y ORM (SQLAlchemy)</t>
  </si>
  <si>
    <t>1.4</t>
  </si>
  <si>
    <t>Maquetación UI/UX del Cliente Móvil (a partir de Mockups)</t>
  </si>
  <si>
    <t>2</t>
  </si>
  <si>
    <t>FASE 2: Desarrollo Core y PWA (Offline-First)</t>
  </si>
  <si>
    <t>2.1</t>
  </si>
  <si>
    <t>Desarrollo de API REST (FastAPI) y Endpoints CRUD</t>
  </si>
  <si>
    <t>2.2</t>
  </si>
  <si>
    <t>Desarrollo Frontend PWA (Mobile-First)</t>
  </si>
  <si>
    <t>2.3</t>
  </si>
  <si>
    <t>Implementación de Service Workers (Sincronización Offline)</t>
  </si>
  <si>
    <t>2.4</t>
  </si>
  <si>
    <t>Integración Geoespacial (GPS) y Captura Fotográfica</t>
  </si>
  <si>
    <t>3</t>
  </si>
  <si>
    <t>FASE 3: Seguridad, Panel Administrativo, QA y Despliegue</t>
  </si>
  <si>
    <t>3.1</t>
  </si>
  <si>
    <t>Autenticación JWT y Gestión de Roles (Supervisor/Operario)</t>
  </si>
  <si>
    <t>3.2</t>
  </si>
  <si>
    <t>Implementación de Seguridad Multi-Tenant (RLS) en BD</t>
  </si>
  <si>
    <t>3.3</t>
  </si>
  <si>
    <t>Construcción del Dashboard Operativo Web (Supervisor)</t>
  </si>
  <si>
    <t>3.4</t>
  </si>
  <si>
    <t>Configuración de Almacenamiento de Objetos (S3 / Azure Blob)</t>
  </si>
  <si>
    <t>3.5</t>
  </si>
  <si>
    <t>Pruebas de Estrés (Backend) y QA End-to-End</t>
  </si>
  <si>
    <t>3.6</t>
  </si>
  <si>
    <t>Despliegue en la Nube (Ambiente de Producción)</t>
  </si>
  <si>
    <t>3.7</t>
  </si>
  <si>
    <t>Redacción del Informe de Título y Preparación Demo Final</t>
  </si>
  <si>
    <t>▌ Línea roja: inicio oficial del desarrollo (Semana 5)</t>
  </si>
  <si>
    <t>Diseño de Mockups y Prototipado UI/UX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</si>
</sst>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yyyy\-mm\-dd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8"/>
      <color rgb="FFFFFFFF"/>
      <name val="Arial"/>
      <charset val="1"/>
    </font>
    <font>
      <b/>
      <sz val="7"/>
      <color rgb="FF000000"/>
      <name val="Arial"/>
      <charset val="1"/>
    </font>
    <font>
      <sz val="10"/>
      <name val="Arial"/>
      <charset val="1"/>
    </font>
    <font>
      <i/>
      <sz val="9"/>
      <color rgb="FFC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2E5395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rgb="FF8EA9DB"/>
        <bgColor rgb="FF969696"/>
      </patternFill>
    </fill>
  </fills>
  <borders count="3">
    <border>
      <left/>
      <right/>
      <top/>
      <bottom/>
      <diagonal/>
    </border>
    <border>
      <left style="medium">
        <color rgb="FFC00000"/>
      </left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7" fillId="0" borderId="0" xfId="0" applyFont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164" fontId="3" fillId="4" borderId="0" xfId="0" applyNumberFormat="1" applyFont="1" applyFill="1" applyAlignment="1">
      <alignment horizontal="left" vertical="center"/>
    </xf>
    <xf numFmtId="165" fontId="0" fillId="0" borderId="0" xfId="0" applyNumberFormat="1"/>
    <xf numFmtId="0" fontId="5" fillId="7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center" vertical="center"/>
    </xf>
    <xf numFmtId="164" fontId="3" fillId="8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9" fontId="6" fillId="8" borderId="2" xfId="0" applyNumberFormat="1" applyFont="1" applyFill="1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9" fontId="6" fillId="0" borderId="2" xfId="0" applyNumberFormat="1" applyFont="1" applyBorder="1" applyAlignment="1">
      <alignment horizontal="center"/>
    </xf>
  </cellXfs>
  <cellStyles count="1">
    <cellStyle name="Normal" xfId="0" builtinId="0"/>
  </cellStyles>
  <dxfs count="8">
    <dxf>
      <fill>
        <patternFill>
          <bgColor rgb="FFBDD7EE"/>
        </patternFill>
      </fill>
    </dxf>
    <dxf>
      <fill>
        <patternFill>
          <bgColor rgb="FF8EA9DB"/>
        </patternFill>
      </fill>
    </dxf>
    <dxf>
      <fill>
        <patternFill>
          <bgColor rgb="FFBDD7EE"/>
        </patternFill>
      </fill>
    </dxf>
    <dxf>
      <fill>
        <patternFill>
          <bgColor rgb="FF8EA9DB"/>
        </patternFill>
      </fill>
    </dxf>
    <dxf>
      <fill>
        <patternFill>
          <bgColor rgb="FFBDD7EE"/>
        </patternFill>
      </fill>
    </dxf>
    <dxf>
      <fill>
        <patternFill>
          <bgColor rgb="FF8EA9DB"/>
        </patternFill>
      </fill>
    </dxf>
    <dxf>
      <fill>
        <patternFill>
          <bgColor rgb="FFF4B183"/>
        </patternFill>
      </fill>
    </dxf>
    <dxf>
      <fill>
        <patternFill>
          <bgColor rgb="FF8EA9D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8EA9DB"/>
      <rgbColor rgb="FF993366"/>
      <rgbColor rgb="FFF2F2F2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O35"/>
  <sheetViews>
    <sheetView showGridLines="0" tabSelected="1" zoomScaleNormal="100" workbookViewId="0">
      <pane ySplit="9" topLeftCell="A22" activePane="bottomLeft" state="frozen"/>
      <selection pane="bottomLeft" activeCell="C25" sqref="C25"/>
    </sheetView>
  </sheetViews>
  <sheetFormatPr baseColWidth="10" defaultColWidth="8.6640625" defaultRowHeight="14.4" x14ac:dyDescent="0.3"/>
  <cols>
    <col min="1" max="1" width="2" customWidth="1"/>
    <col min="2" max="2" width="6" customWidth="1"/>
    <col min="3" max="3" width="48" customWidth="1"/>
    <col min="4" max="4" width="14" customWidth="1"/>
    <col min="5" max="6" width="11" customWidth="1"/>
    <col min="7" max="8" width="9" customWidth="1"/>
    <col min="9" max="93" width="2.5546875" customWidth="1"/>
  </cols>
  <sheetData>
    <row r="1" spans="2:93" ht="17.399999999999999" x14ac:dyDescent="0.3">
      <c r="B1" s="6" t="s">
        <v>0</v>
      </c>
      <c r="C1" s="6"/>
      <c r="D1" s="6"/>
      <c r="E1" s="6"/>
      <c r="F1" s="6"/>
      <c r="G1" s="6"/>
      <c r="H1" s="6"/>
    </row>
    <row r="2" spans="2:93" x14ac:dyDescent="0.3">
      <c r="B2" s="7" t="s">
        <v>1</v>
      </c>
      <c r="C2" s="8" t="s">
        <v>2</v>
      </c>
    </row>
    <row r="3" spans="2:93" x14ac:dyDescent="0.3">
      <c r="B3" s="7" t="s">
        <v>3</v>
      </c>
      <c r="C3" s="8" t="s">
        <v>4</v>
      </c>
    </row>
    <row r="4" spans="2:93" x14ac:dyDescent="0.3">
      <c r="B4" s="7" t="s">
        <v>5</v>
      </c>
      <c r="C4" s="8" t="s">
        <v>6</v>
      </c>
    </row>
    <row r="5" spans="2:93" x14ac:dyDescent="0.3">
      <c r="B5" s="7" t="s">
        <v>7</v>
      </c>
      <c r="C5" s="9">
        <v>46258</v>
      </c>
    </row>
    <row r="7" spans="2:93" hidden="1" x14ac:dyDescent="0.3">
      <c r="I7" s="10">
        <v>46258</v>
      </c>
      <c r="J7" s="10">
        <v>46259</v>
      </c>
      <c r="K7" s="10">
        <v>46260</v>
      </c>
      <c r="L7" s="10">
        <v>46261</v>
      </c>
      <c r="M7" s="10">
        <v>46262</v>
      </c>
      <c r="N7" s="10">
        <v>46265</v>
      </c>
      <c r="O7" s="10">
        <v>46266</v>
      </c>
      <c r="P7" s="10">
        <v>46267</v>
      </c>
      <c r="Q7" s="10">
        <v>46268</v>
      </c>
      <c r="R7" s="10">
        <v>46269</v>
      </c>
      <c r="S7" s="10">
        <v>46272</v>
      </c>
      <c r="T7" s="10">
        <v>46273</v>
      </c>
      <c r="U7" s="10">
        <v>46274</v>
      </c>
      <c r="V7" s="10">
        <v>46275</v>
      </c>
      <c r="W7" s="10">
        <v>46276</v>
      </c>
      <c r="X7" s="10">
        <v>46279</v>
      </c>
      <c r="Y7" s="10">
        <v>46280</v>
      </c>
      <c r="Z7" s="10">
        <v>46281</v>
      </c>
      <c r="AA7" s="10">
        <v>46282</v>
      </c>
      <c r="AB7" s="10">
        <v>46283</v>
      </c>
      <c r="AC7" s="10">
        <v>46286</v>
      </c>
      <c r="AD7" s="10">
        <v>46287</v>
      </c>
      <c r="AE7" s="10">
        <v>46288</v>
      </c>
      <c r="AF7" s="10">
        <v>46289</v>
      </c>
      <c r="AG7" s="10">
        <v>46290</v>
      </c>
      <c r="AH7" s="10">
        <v>46293</v>
      </c>
      <c r="AI7" s="10">
        <v>46294</v>
      </c>
      <c r="AJ7" s="10">
        <v>46295</v>
      </c>
      <c r="AK7" s="10">
        <v>46296</v>
      </c>
      <c r="AL7" s="10">
        <v>46297</v>
      </c>
      <c r="AM7" s="10">
        <v>46300</v>
      </c>
      <c r="AN7" s="10">
        <v>46301</v>
      </c>
      <c r="AO7" s="10">
        <v>46302</v>
      </c>
      <c r="AP7" s="10">
        <v>46303</v>
      </c>
      <c r="AQ7" s="10">
        <v>46304</v>
      </c>
      <c r="AR7" s="10">
        <v>46307</v>
      </c>
      <c r="AS7" s="10">
        <v>46308</v>
      </c>
      <c r="AT7" s="10">
        <v>46309</v>
      </c>
      <c r="AU7" s="10">
        <v>46310</v>
      </c>
      <c r="AV7" s="10">
        <v>46311</v>
      </c>
      <c r="AW7" s="10">
        <v>46314</v>
      </c>
      <c r="AX7" s="10">
        <v>46315</v>
      </c>
      <c r="AY7" s="10">
        <v>46316</v>
      </c>
      <c r="AZ7" s="10">
        <v>46317</v>
      </c>
      <c r="BA7" s="10">
        <v>46318</v>
      </c>
      <c r="BB7" s="10">
        <v>46321</v>
      </c>
      <c r="BC7" s="10">
        <v>46322</v>
      </c>
      <c r="BD7" s="10">
        <v>46323</v>
      </c>
      <c r="BE7" s="10">
        <v>46324</v>
      </c>
      <c r="BF7" s="10">
        <v>46325</v>
      </c>
      <c r="BG7" s="10">
        <v>46328</v>
      </c>
      <c r="BH7" s="10">
        <v>46329</v>
      </c>
      <c r="BI7" s="10">
        <v>46330</v>
      </c>
      <c r="BJ7" s="10">
        <v>46331</v>
      </c>
      <c r="BK7" s="10">
        <v>46332</v>
      </c>
      <c r="BL7" s="10">
        <v>46335</v>
      </c>
      <c r="BM7" s="10">
        <v>46336</v>
      </c>
      <c r="BN7" s="10">
        <v>46337</v>
      </c>
      <c r="BO7" s="10">
        <v>46338</v>
      </c>
      <c r="BP7" s="10">
        <v>46339</v>
      </c>
      <c r="BQ7" s="10">
        <v>46342</v>
      </c>
      <c r="BR7" s="10">
        <v>46343</v>
      </c>
      <c r="BS7" s="10">
        <v>46344</v>
      </c>
      <c r="BT7" s="10">
        <v>46345</v>
      </c>
      <c r="BU7" s="10">
        <v>46346</v>
      </c>
      <c r="BV7" s="10">
        <v>46349</v>
      </c>
      <c r="BW7" s="10">
        <v>46350</v>
      </c>
      <c r="BX7" s="10">
        <v>46351</v>
      </c>
      <c r="BY7" s="10">
        <v>46352</v>
      </c>
      <c r="BZ7" s="10">
        <v>46353</v>
      </c>
      <c r="CA7" s="10">
        <v>46356</v>
      </c>
      <c r="CB7" s="10">
        <v>46357</v>
      </c>
      <c r="CC7" s="10">
        <v>46358</v>
      </c>
      <c r="CD7" s="10">
        <v>46359</v>
      </c>
      <c r="CE7" s="10">
        <v>46360</v>
      </c>
      <c r="CF7" s="10">
        <v>46363</v>
      </c>
      <c r="CG7" s="10">
        <v>46364</v>
      </c>
      <c r="CH7" s="10">
        <v>46365</v>
      </c>
      <c r="CI7" s="10">
        <v>46366</v>
      </c>
      <c r="CJ7" s="10">
        <v>46367</v>
      </c>
      <c r="CK7" s="10">
        <v>46370</v>
      </c>
      <c r="CL7" s="10">
        <v>46371</v>
      </c>
      <c r="CM7" s="10">
        <v>46372</v>
      </c>
      <c r="CN7" s="10">
        <v>46373</v>
      </c>
      <c r="CO7" s="10">
        <v>46374</v>
      </c>
    </row>
    <row r="8" spans="2:93" ht="15" customHeight="1" x14ac:dyDescent="0.3">
      <c r="B8" s="5" t="s">
        <v>8</v>
      </c>
      <c r="C8" s="5" t="s">
        <v>9</v>
      </c>
      <c r="D8" s="5" t="s">
        <v>10</v>
      </c>
      <c r="E8" s="5" t="s">
        <v>11</v>
      </c>
      <c r="F8" s="5" t="s">
        <v>11</v>
      </c>
      <c r="G8" s="5" t="s">
        <v>12</v>
      </c>
      <c r="H8" s="5" t="s">
        <v>13</v>
      </c>
      <c r="I8" s="4" t="s">
        <v>14</v>
      </c>
      <c r="J8" s="4"/>
      <c r="K8" s="4"/>
      <c r="L8" s="4"/>
      <c r="M8" s="4"/>
      <c r="N8" s="4" t="s">
        <v>15</v>
      </c>
      <c r="O8" s="4"/>
      <c r="P8" s="4"/>
      <c r="Q8" s="4"/>
      <c r="R8" s="4"/>
      <c r="S8" s="4" t="s">
        <v>16</v>
      </c>
      <c r="T8" s="4"/>
      <c r="U8" s="4"/>
      <c r="V8" s="4"/>
      <c r="W8" s="4"/>
      <c r="X8" s="4" t="s">
        <v>17</v>
      </c>
      <c r="Y8" s="4"/>
      <c r="Z8" s="4"/>
      <c r="AA8" s="4"/>
      <c r="AB8" s="4"/>
      <c r="AC8" s="3" t="s">
        <v>18</v>
      </c>
      <c r="AD8" s="3"/>
      <c r="AE8" s="3"/>
      <c r="AF8" s="3"/>
      <c r="AG8" s="3"/>
      <c r="AH8" s="2" t="s">
        <v>19</v>
      </c>
      <c r="AI8" s="2"/>
      <c r="AJ8" s="2"/>
      <c r="AK8" s="2"/>
      <c r="AL8" s="2"/>
      <c r="AM8" s="2" t="s">
        <v>20</v>
      </c>
      <c r="AN8" s="2"/>
      <c r="AO8" s="2"/>
      <c r="AP8" s="2"/>
      <c r="AQ8" s="2"/>
      <c r="AR8" s="2" t="s">
        <v>21</v>
      </c>
      <c r="AS8" s="2"/>
      <c r="AT8" s="2"/>
      <c r="AU8" s="2"/>
      <c r="AV8" s="2"/>
      <c r="AW8" s="2" t="s">
        <v>22</v>
      </c>
      <c r="AX8" s="2"/>
      <c r="AY8" s="2"/>
      <c r="AZ8" s="2"/>
      <c r="BA8" s="2"/>
      <c r="BB8" s="2" t="s">
        <v>23</v>
      </c>
      <c r="BC8" s="2"/>
      <c r="BD8" s="2"/>
      <c r="BE8" s="2"/>
      <c r="BF8" s="2"/>
      <c r="BG8" s="2" t="s">
        <v>24</v>
      </c>
      <c r="BH8" s="2"/>
      <c r="BI8" s="2"/>
      <c r="BJ8" s="2"/>
      <c r="BK8" s="2"/>
      <c r="BL8" s="2" t="s">
        <v>25</v>
      </c>
      <c r="BM8" s="2"/>
      <c r="BN8" s="2"/>
      <c r="BO8" s="2"/>
      <c r="BP8" s="2"/>
      <c r="BQ8" s="2" t="s">
        <v>26</v>
      </c>
      <c r="BR8" s="2"/>
      <c r="BS8" s="2"/>
      <c r="BT8" s="2"/>
      <c r="BU8" s="2"/>
      <c r="BV8" s="2" t="s">
        <v>27</v>
      </c>
      <c r="BW8" s="2"/>
      <c r="BX8" s="2"/>
      <c r="BY8" s="2"/>
      <c r="BZ8" s="2"/>
      <c r="CA8" s="2" t="s">
        <v>28</v>
      </c>
      <c r="CB8" s="2"/>
      <c r="CC8" s="2"/>
      <c r="CD8" s="2"/>
      <c r="CE8" s="2"/>
      <c r="CF8" s="2" t="s">
        <v>29</v>
      </c>
      <c r="CG8" s="2"/>
      <c r="CH8" s="2"/>
      <c r="CI8" s="2"/>
      <c r="CJ8" s="2"/>
      <c r="CK8" s="2" t="s">
        <v>30</v>
      </c>
      <c r="CL8" s="2"/>
      <c r="CM8" s="2"/>
      <c r="CN8" s="2"/>
      <c r="CO8" s="2"/>
    </row>
    <row r="9" spans="2:93" x14ac:dyDescent="0.3">
      <c r="B9" s="5"/>
      <c r="C9" s="5"/>
      <c r="D9" s="5"/>
      <c r="E9" s="5"/>
      <c r="F9" s="5"/>
      <c r="G9" s="5"/>
      <c r="H9" s="5"/>
      <c r="I9" s="11" t="s">
        <v>31</v>
      </c>
      <c r="J9" s="11" t="s">
        <v>32</v>
      </c>
      <c r="K9" s="11" t="s">
        <v>33</v>
      </c>
      <c r="L9" s="11" t="s">
        <v>34</v>
      </c>
      <c r="M9" s="11" t="s">
        <v>35</v>
      </c>
      <c r="N9" s="11" t="s">
        <v>31</v>
      </c>
      <c r="O9" s="11" t="s">
        <v>32</v>
      </c>
      <c r="P9" s="11" t="s">
        <v>33</v>
      </c>
      <c r="Q9" s="11" t="s">
        <v>34</v>
      </c>
      <c r="R9" s="11" t="s">
        <v>35</v>
      </c>
      <c r="S9" s="11" t="s">
        <v>31</v>
      </c>
      <c r="T9" s="11" t="s">
        <v>32</v>
      </c>
      <c r="U9" s="11" t="s">
        <v>33</v>
      </c>
      <c r="V9" s="11" t="s">
        <v>34</v>
      </c>
      <c r="W9" s="11" t="s">
        <v>35</v>
      </c>
      <c r="X9" s="11" t="s">
        <v>31</v>
      </c>
      <c r="Y9" s="11" t="s">
        <v>32</v>
      </c>
      <c r="Z9" s="11" t="s">
        <v>33</v>
      </c>
      <c r="AA9" s="11" t="s">
        <v>34</v>
      </c>
      <c r="AB9" s="11" t="s">
        <v>35</v>
      </c>
      <c r="AC9" s="12" t="s">
        <v>31</v>
      </c>
      <c r="AD9" s="11" t="s">
        <v>32</v>
      </c>
      <c r="AE9" s="11" t="s">
        <v>33</v>
      </c>
      <c r="AF9" s="11" t="s">
        <v>34</v>
      </c>
      <c r="AG9" s="11" t="s">
        <v>35</v>
      </c>
      <c r="AH9" s="11" t="s">
        <v>31</v>
      </c>
      <c r="AI9" s="11" t="s">
        <v>32</v>
      </c>
      <c r="AJ9" s="11" t="s">
        <v>33</v>
      </c>
      <c r="AK9" s="11" t="s">
        <v>34</v>
      </c>
      <c r="AL9" s="11" t="s">
        <v>35</v>
      </c>
      <c r="AM9" s="11" t="s">
        <v>31</v>
      </c>
      <c r="AN9" s="11" t="s">
        <v>32</v>
      </c>
      <c r="AO9" s="11" t="s">
        <v>33</v>
      </c>
      <c r="AP9" s="11" t="s">
        <v>34</v>
      </c>
      <c r="AQ9" s="11" t="s">
        <v>35</v>
      </c>
      <c r="AR9" s="11" t="s">
        <v>31</v>
      </c>
      <c r="AS9" s="11" t="s">
        <v>32</v>
      </c>
      <c r="AT9" s="11" t="s">
        <v>33</v>
      </c>
      <c r="AU9" s="11" t="s">
        <v>34</v>
      </c>
      <c r="AV9" s="11" t="s">
        <v>35</v>
      </c>
      <c r="AW9" s="11" t="s">
        <v>31</v>
      </c>
      <c r="AX9" s="11" t="s">
        <v>32</v>
      </c>
      <c r="AY9" s="11" t="s">
        <v>33</v>
      </c>
      <c r="AZ9" s="11" t="s">
        <v>34</v>
      </c>
      <c r="BA9" s="11" t="s">
        <v>35</v>
      </c>
      <c r="BB9" s="11" t="s">
        <v>31</v>
      </c>
      <c r="BC9" s="11" t="s">
        <v>32</v>
      </c>
      <c r="BD9" s="11" t="s">
        <v>33</v>
      </c>
      <c r="BE9" s="11" t="s">
        <v>34</v>
      </c>
      <c r="BF9" s="11" t="s">
        <v>35</v>
      </c>
      <c r="BG9" s="11" t="s">
        <v>31</v>
      </c>
      <c r="BH9" s="11" t="s">
        <v>32</v>
      </c>
      <c r="BI9" s="11" t="s">
        <v>33</v>
      </c>
      <c r="BJ9" s="11" t="s">
        <v>34</v>
      </c>
      <c r="BK9" s="11" t="s">
        <v>35</v>
      </c>
      <c r="BL9" s="11" t="s">
        <v>31</v>
      </c>
      <c r="BM9" s="11" t="s">
        <v>32</v>
      </c>
      <c r="BN9" s="11" t="s">
        <v>33</v>
      </c>
      <c r="BO9" s="11" t="s">
        <v>34</v>
      </c>
      <c r="BP9" s="11" t="s">
        <v>35</v>
      </c>
      <c r="BQ9" s="11" t="s">
        <v>31</v>
      </c>
      <c r="BR9" s="11" t="s">
        <v>32</v>
      </c>
      <c r="BS9" s="11" t="s">
        <v>33</v>
      </c>
      <c r="BT9" s="11" t="s">
        <v>34</v>
      </c>
      <c r="BU9" s="11" t="s">
        <v>35</v>
      </c>
      <c r="BV9" s="11" t="s">
        <v>31</v>
      </c>
      <c r="BW9" s="11" t="s">
        <v>32</v>
      </c>
      <c r="BX9" s="11" t="s">
        <v>33</v>
      </c>
      <c r="BY9" s="11" t="s">
        <v>34</v>
      </c>
      <c r="BZ9" s="11" t="s">
        <v>35</v>
      </c>
      <c r="CA9" s="11" t="s">
        <v>31</v>
      </c>
      <c r="CB9" s="11" t="s">
        <v>32</v>
      </c>
      <c r="CC9" s="11" t="s">
        <v>33</v>
      </c>
      <c r="CD9" s="11" t="s">
        <v>34</v>
      </c>
      <c r="CE9" s="11" t="s">
        <v>35</v>
      </c>
      <c r="CF9" s="11" t="s">
        <v>31</v>
      </c>
      <c r="CG9" s="11" t="s">
        <v>32</v>
      </c>
      <c r="CH9" s="11" t="s">
        <v>33</v>
      </c>
      <c r="CI9" s="11" t="s">
        <v>34</v>
      </c>
      <c r="CJ9" s="11" t="s">
        <v>35</v>
      </c>
      <c r="CK9" s="11" t="s">
        <v>31</v>
      </c>
      <c r="CL9" s="11" t="s">
        <v>32</v>
      </c>
      <c r="CM9" s="11" t="s">
        <v>33</v>
      </c>
      <c r="CN9" s="11" t="s">
        <v>34</v>
      </c>
      <c r="CO9" s="11" t="s">
        <v>35</v>
      </c>
    </row>
    <row r="10" spans="2:93" x14ac:dyDescent="0.3">
      <c r="B10" s="13" t="s">
        <v>36</v>
      </c>
      <c r="C10" s="14" t="s">
        <v>37</v>
      </c>
      <c r="D10" s="15" t="s">
        <v>38</v>
      </c>
      <c r="E10" s="16">
        <v>46258</v>
      </c>
      <c r="F10" s="16">
        <v>46283</v>
      </c>
      <c r="G10" s="17">
        <f t="shared" ref="G10:G33" si="0">IF(F10-E10=0,"",F10-E10)</f>
        <v>25</v>
      </c>
      <c r="H10" s="18">
        <v>0</v>
      </c>
      <c r="AC10" s="19"/>
    </row>
    <row r="11" spans="2:93" x14ac:dyDescent="0.3">
      <c r="B11" s="20" t="s">
        <v>39</v>
      </c>
      <c r="C11" s="21" t="s">
        <v>40</v>
      </c>
      <c r="D11" s="20" t="s">
        <v>38</v>
      </c>
      <c r="E11" s="22">
        <v>46258</v>
      </c>
      <c r="F11" s="22">
        <v>46262</v>
      </c>
      <c r="G11" s="23">
        <f t="shared" si="0"/>
        <v>4</v>
      </c>
      <c r="H11" s="24">
        <v>0</v>
      </c>
      <c r="AC11" s="19"/>
    </row>
    <row r="12" spans="2:93" x14ac:dyDescent="0.3">
      <c r="B12" s="20" t="s">
        <v>41</v>
      </c>
      <c r="C12" s="21" t="s">
        <v>42</v>
      </c>
      <c r="D12" s="20" t="s">
        <v>38</v>
      </c>
      <c r="E12" s="22">
        <v>46258</v>
      </c>
      <c r="F12" s="22">
        <v>46262</v>
      </c>
      <c r="G12" s="23">
        <f t="shared" si="0"/>
        <v>4</v>
      </c>
      <c r="H12" s="24">
        <v>0</v>
      </c>
      <c r="AC12" s="19"/>
    </row>
    <row r="13" spans="2:93" x14ac:dyDescent="0.3">
      <c r="B13" s="20" t="s">
        <v>43</v>
      </c>
      <c r="C13" s="21" t="s">
        <v>44</v>
      </c>
      <c r="D13" s="20" t="s">
        <v>45</v>
      </c>
      <c r="E13" s="22">
        <v>46265</v>
      </c>
      <c r="F13" s="22">
        <v>46269</v>
      </c>
      <c r="G13" s="23">
        <f t="shared" si="0"/>
        <v>4</v>
      </c>
      <c r="H13" s="24">
        <v>0</v>
      </c>
      <c r="AC13" s="19"/>
    </row>
    <row r="14" spans="2:93" x14ac:dyDescent="0.3">
      <c r="B14" s="20" t="s">
        <v>46</v>
      </c>
      <c r="C14" s="21" t="s">
        <v>88</v>
      </c>
      <c r="D14" s="20" t="s">
        <v>47</v>
      </c>
      <c r="E14" s="22">
        <v>46265</v>
      </c>
      <c r="F14" s="22">
        <v>46276</v>
      </c>
      <c r="G14" s="23">
        <f t="shared" si="0"/>
        <v>11</v>
      </c>
      <c r="H14" s="24">
        <v>0</v>
      </c>
      <c r="AC14" s="19"/>
    </row>
    <row r="15" spans="2:93" x14ac:dyDescent="0.3">
      <c r="B15" s="20" t="s">
        <v>48</v>
      </c>
      <c r="C15" s="21" t="s">
        <v>49</v>
      </c>
      <c r="D15" s="20" t="s">
        <v>38</v>
      </c>
      <c r="E15" s="22">
        <v>46279</v>
      </c>
      <c r="F15" s="22">
        <v>46283</v>
      </c>
      <c r="G15" s="23">
        <f t="shared" si="0"/>
        <v>4</v>
      </c>
      <c r="H15" s="24">
        <v>0</v>
      </c>
      <c r="AC15" s="19"/>
    </row>
    <row r="16" spans="2:93" x14ac:dyDescent="0.3">
      <c r="B16" s="13" t="s">
        <v>50</v>
      </c>
      <c r="C16" s="14" t="s">
        <v>51</v>
      </c>
      <c r="D16" s="15" t="s">
        <v>38</v>
      </c>
      <c r="E16" s="16">
        <v>46286</v>
      </c>
      <c r="F16" s="16">
        <v>46304</v>
      </c>
      <c r="G16" s="17">
        <f t="shared" si="0"/>
        <v>18</v>
      </c>
      <c r="H16" s="18">
        <v>0</v>
      </c>
      <c r="AC16" s="19"/>
    </row>
    <row r="17" spans="2:29" x14ac:dyDescent="0.3">
      <c r="B17" s="20" t="s">
        <v>52</v>
      </c>
      <c r="C17" s="21" t="s">
        <v>53</v>
      </c>
      <c r="D17" s="20" t="s">
        <v>54</v>
      </c>
      <c r="E17" s="22">
        <v>46286</v>
      </c>
      <c r="F17" s="22">
        <v>46290</v>
      </c>
      <c r="G17" s="23">
        <f t="shared" si="0"/>
        <v>4</v>
      </c>
      <c r="H17" s="24">
        <v>0</v>
      </c>
      <c r="AC17" s="19"/>
    </row>
    <row r="18" spans="2:29" x14ac:dyDescent="0.3">
      <c r="B18" s="20" t="s">
        <v>55</v>
      </c>
      <c r="C18" s="21" t="s">
        <v>56</v>
      </c>
      <c r="D18" s="20" t="s">
        <v>54</v>
      </c>
      <c r="E18" s="22">
        <v>46286</v>
      </c>
      <c r="F18" s="22">
        <v>46297</v>
      </c>
      <c r="G18" s="23">
        <f t="shared" si="0"/>
        <v>11</v>
      </c>
      <c r="H18" s="24">
        <v>0</v>
      </c>
      <c r="AC18" s="19"/>
    </row>
    <row r="19" spans="2:29" x14ac:dyDescent="0.3">
      <c r="B19" s="20" t="s">
        <v>57</v>
      </c>
      <c r="C19" s="21" t="s">
        <v>58</v>
      </c>
      <c r="D19" s="20" t="s">
        <v>54</v>
      </c>
      <c r="E19" s="22">
        <v>46293</v>
      </c>
      <c r="F19" s="22">
        <v>46304</v>
      </c>
      <c r="G19" s="23">
        <f t="shared" si="0"/>
        <v>11</v>
      </c>
      <c r="H19" s="24">
        <v>0</v>
      </c>
      <c r="AC19" s="19"/>
    </row>
    <row r="20" spans="2:29" x14ac:dyDescent="0.3">
      <c r="B20" s="20" t="s">
        <v>59</v>
      </c>
      <c r="C20" s="21" t="s">
        <v>60</v>
      </c>
      <c r="D20" s="20" t="s">
        <v>47</v>
      </c>
      <c r="E20" s="22">
        <v>46286</v>
      </c>
      <c r="F20" s="22">
        <v>46304</v>
      </c>
      <c r="G20" s="23">
        <f t="shared" si="0"/>
        <v>18</v>
      </c>
      <c r="H20" s="24">
        <v>0</v>
      </c>
      <c r="AC20" s="19"/>
    </row>
    <row r="21" spans="2:29" x14ac:dyDescent="0.3">
      <c r="B21" s="13" t="s">
        <v>61</v>
      </c>
      <c r="C21" s="14" t="s">
        <v>62</v>
      </c>
      <c r="D21" s="15" t="s">
        <v>38</v>
      </c>
      <c r="E21" s="16">
        <v>46307</v>
      </c>
      <c r="F21" s="16">
        <v>46332</v>
      </c>
      <c r="G21" s="17">
        <f t="shared" si="0"/>
        <v>25</v>
      </c>
      <c r="H21" s="18">
        <v>0</v>
      </c>
      <c r="AC21" s="19"/>
    </row>
    <row r="22" spans="2:29" x14ac:dyDescent="0.3">
      <c r="B22" s="20" t="s">
        <v>63</v>
      </c>
      <c r="C22" s="21" t="s">
        <v>64</v>
      </c>
      <c r="D22" s="20" t="s">
        <v>54</v>
      </c>
      <c r="E22" s="22">
        <v>46307</v>
      </c>
      <c r="F22" s="22">
        <v>46325</v>
      </c>
      <c r="G22" s="23">
        <f t="shared" si="0"/>
        <v>18</v>
      </c>
      <c r="H22" s="24">
        <v>0</v>
      </c>
      <c r="AC22" s="19"/>
    </row>
    <row r="23" spans="2:29" x14ac:dyDescent="0.3">
      <c r="B23" s="20" t="s">
        <v>65</v>
      </c>
      <c r="C23" s="21" t="s">
        <v>66</v>
      </c>
      <c r="D23" s="20" t="s">
        <v>47</v>
      </c>
      <c r="E23" s="22">
        <v>46307</v>
      </c>
      <c r="F23" s="22">
        <v>46325</v>
      </c>
      <c r="G23" s="23">
        <f t="shared" si="0"/>
        <v>18</v>
      </c>
      <c r="H23" s="24">
        <v>0</v>
      </c>
      <c r="AC23" s="19"/>
    </row>
    <row r="24" spans="2:29" x14ac:dyDescent="0.3">
      <c r="B24" s="20" t="s">
        <v>67</v>
      </c>
      <c r="C24" s="21" t="s">
        <v>68</v>
      </c>
      <c r="D24" s="20" t="s">
        <v>47</v>
      </c>
      <c r="E24" s="22">
        <v>46314</v>
      </c>
      <c r="F24" s="22">
        <v>46332</v>
      </c>
      <c r="G24" s="23">
        <f t="shared" si="0"/>
        <v>18</v>
      </c>
      <c r="H24" s="24">
        <v>0</v>
      </c>
      <c r="AC24" s="19"/>
    </row>
    <row r="25" spans="2:29" x14ac:dyDescent="0.3">
      <c r="B25" s="20" t="s">
        <v>69</v>
      </c>
      <c r="C25" s="21" t="s">
        <v>70</v>
      </c>
      <c r="D25" s="20" t="s">
        <v>38</v>
      </c>
      <c r="E25" s="22">
        <v>46321</v>
      </c>
      <c r="F25" s="22">
        <v>46332</v>
      </c>
      <c r="G25" s="23">
        <f t="shared" si="0"/>
        <v>11</v>
      </c>
      <c r="H25" s="24">
        <v>0</v>
      </c>
      <c r="AC25" s="19"/>
    </row>
    <row r="26" spans="2:29" x14ac:dyDescent="0.3">
      <c r="B26" s="13" t="s">
        <v>71</v>
      </c>
      <c r="C26" s="14" t="s">
        <v>72</v>
      </c>
      <c r="D26" s="15" t="s">
        <v>38</v>
      </c>
      <c r="E26" s="16">
        <v>46335</v>
      </c>
      <c r="F26" s="16">
        <v>46374</v>
      </c>
      <c r="G26" s="17">
        <f t="shared" si="0"/>
        <v>39</v>
      </c>
      <c r="H26" s="18">
        <v>0</v>
      </c>
      <c r="AC26" s="19"/>
    </row>
    <row r="27" spans="2:29" x14ac:dyDescent="0.3">
      <c r="B27" s="20" t="s">
        <v>73</v>
      </c>
      <c r="C27" s="21" t="s">
        <v>74</v>
      </c>
      <c r="D27" s="20" t="s">
        <v>54</v>
      </c>
      <c r="E27" s="22">
        <v>46335</v>
      </c>
      <c r="F27" s="22">
        <v>46346</v>
      </c>
      <c r="G27" s="23">
        <f t="shared" si="0"/>
        <v>11</v>
      </c>
      <c r="H27" s="24">
        <v>0</v>
      </c>
      <c r="AC27" s="19"/>
    </row>
    <row r="28" spans="2:29" x14ac:dyDescent="0.3">
      <c r="B28" s="20" t="s">
        <v>75</v>
      </c>
      <c r="C28" s="21" t="s">
        <v>76</v>
      </c>
      <c r="D28" s="20" t="s">
        <v>54</v>
      </c>
      <c r="E28" s="22">
        <v>46335</v>
      </c>
      <c r="F28" s="22">
        <v>46346</v>
      </c>
      <c r="G28" s="23">
        <f t="shared" si="0"/>
        <v>11</v>
      </c>
      <c r="H28" s="24">
        <v>0</v>
      </c>
      <c r="AC28" s="19"/>
    </row>
    <row r="29" spans="2:29" x14ac:dyDescent="0.3">
      <c r="B29" s="20" t="s">
        <v>77</v>
      </c>
      <c r="C29" s="21" t="s">
        <v>78</v>
      </c>
      <c r="D29" s="20" t="s">
        <v>47</v>
      </c>
      <c r="E29" s="22">
        <v>46342</v>
      </c>
      <c r="F29" s="22">
        <v>46360</v>
      </c>
      <c r="G29" s="23">
        <f t="shared" si="0"/>
        <v>18</v>
      </c>
      <c r="H29" s="24">
        <v>0</v>
      </c>
      <c r="AC29" s="19"/>
    </row>
    <row r="30" spans="2:29" x14ac:dyDescent="0.3">
      <c r="B30" s="20" t="s">
        <v>79</v>
      </c>
      <c r="C30" s="21" t="s">
        <v>80</v>
      </c>
      <c r="D30" s="20" t="s">
        <v>54</v>
      </c>
      <c r="E30" s="22">
        <v>46349</v>
      </c>
      <c r="F30" s="22">
        <v>46353</v>
      </c>
      <c r="G30" s="23">
        <f t="shared" si="0"/>
        <v>4</v>
      </c>
      <c r="H30" s="24">
        <v>0</v>
      </c>
      <c r="AC30" s="19"/>
    </row>
    <row r="31" spans="2:29" x14ac:dyDescent="0.3">
      <c r="B31" s="20" t="s">
        <v>81</v>
      </c>
      <c r="C31" s="21" t="s">
        <v>82</v>
      </c>
      <c r="D31" s="20" t="s">
        <v>38</v>
      </c>
      <c r="E31" s="22">
        <v>46356</v>
      </c>
      <c r="F31" s="22">
        <v>46367</v>
      </c>
      <c r="G31" s="23">
        <f t="shared" si="0"/>
        <v>11</v>
      </c>
      <c r="H31" s="24">
        <v>0</v>
      </c>
      <c r="AC31" s="19"/>
    </row>
    <row r="32" spans="2:29" x14ac:dyDescent="0.3">
      <c r="B32" s="20" t="s">
        <v>83</v>
      </c>
      <c r="C32" s="21" t="s">
        <v>84</v>
      </c>
      <c r="D32" s="20" t="s">
        <v>54</v>
      </c>
      <c r="E32" s="22">
        <v>46363</v>
      </c>
      <c r="F32" s="22">
        <v>46367</v>
      </c>
      <c r="G32" s="23">
        <f t="shared" si="0"/>
        <v>4</v>
      </c>
      <c r="H32" s="24">
        <v>0</v>
      </c>
      <c r="AC32" s="19"/>
    </row>
    <row r="33" spans="2:29" x14ac:dyDescent="0.3">
      <c r="B33" s="20" t="s">
        <v>85</v>
      </c>
      <c r="C33" s="21" t="s">
        <v>86</v>
      </c>
      <c r="D33" s="20" t="s">
        <v>38</v>
      </c>
      <c r="E33" s="22">
        <v>46363</v>
      </c>
      <c r="F33" s="22">
        <v>46374</v>
      </c>
      <c r="G33" s="23">
        <f t="shared" si="0"/>
        <v>11</v>
      </c>
      <c r="H33" s="24">
        <v>0</v>
      </c>
      <c r="AC33" s="19"/>
    </row>
    <row r="35" spans="2:29" x14ac:dyDescent="0.3">
      <c r="B35" s="1" t="s">
        <v>87</v>
      </c>
      <c r="C35" s="1"/>
      <c r="D35" s="1"/>
      <c r="E35" s="1"/>
      <c r="F35" s="1"/>
      <c r="G35" s="1"/>
      <c r="H35" s="1"/>
    </row>
  </sheetData>
  <mergeCells count="26">
    <mergeCell ref="CF8:CJ8"/>
    <mergeCell ref="CK8:CO8"/>
    <mergeCell ref="B35:H35"/>
    <mergeCell ref="BG8:BK8"/>
    <mergeCell ref="BL8:BP8"/>
    <mergeCell ref="BQ8:BU8"/>
    <mergeCell ref="BV8:BZ8"/>
    <mergeCell ref="CA8:CE8"/>
    <mergeCell ref="AH8:AL8"/>
    <mergeCell ref="AM8:AQ8"/>
    <mergeCell ref="AR8:AV8"/>
    <mergeCell ref="AW8:BA8"/>
    <mergeCell ref="BB8:BF8"/>
    <mergeCell ref="I8:M8"/>
    <mergeCell ref="N8:R8"/>
    <mergeCell ref="S8:W8"/>
    <mergeCell ref="X8:AB8"/>
    <mergeCell ref="AC8:AG8"/>
    <mergeCell ref="B1:H1"/>
    <mergeCell ref="B8:B9"/>
    <mergeCell ref="C8:C9"/>
    <mergeCell ref="D8:D9"/>
    <mergeCell ref="E8:E9"/>
    <mergeCell ref="F8:F9"/>
    <mergeCell ref="G8:G9"/>
    <mergeCell ref="H8:H9"/>
  </mergeCells>
  <conditionalFormatting sqref="I10:CO10">
    <cfRule type="expression" dxfId="7" priority="2">
      <formula>AND(I$7&gt;=$E10,I$7&lt;=$F10)</formula>
    </cfRule>
  </conditionalFormatting>
  <conditionalFormatting sqref="I11:CO15">
    <cfRule type="expression" dxfId="6" priority="3">
      <formula>AND(I$7&gt;=$E11,I$7&lt;=$F11)</formula>
    </cfRule>
  </conditionalFormatting>
  <conditionalFormatting sqref="I16:CO16">
    <cfRule type="expression" dxfId="5" priority="8">
      <formula>AND(I$7&gt;=$E16,I$7&lt;=$F16)</formula>
    </cfRule>
  </conditionalFormatting>
  <conditionalFormatting sqref="I17:CO20">
    <cfRule type="expression" dxfId="4" priority="9">
      <formula>AND(I$7&gt;=$E17,I$7&lt;=$F17)</formula>
    </cfRule>
  </conditionalFormatting>
  <conditionalFormatting sqref="I21:CO21">
    <cfRule type="expression" dxfId="3" priority="13">
      <formula>AND(I$7&gt;=$E21,I$7&lt;=$F21)</formula>
    </cfRule>
  </conditionalFormatting>
  <conditionalFormatting sqref="I22:CO25">
    <cfRule type="expression" dxfId="2" priority="14">
      <formula>AND(I$7&gt;=$E22,I$7&lt;=$F22)</formula>
    </cfRule>
  </conditionalFormatting>
  <conditionalFormatting sqref="I26:CO26">
    <cfRule type="expression" dxfId="1" priority="18">
      <formula>AND(I$7&gt;=$E26,I$7&lt;=$F26)</formula>
    </cfRule>
  </conditionalFormatting>
  <conditionalFormatting sqref="I27:CO33">
    <cfRule type="expression" dxfId="0" priority="19">
      <formula>AND(I$7&gt;=$E27,I$7&lt;=$F27)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Alexander Rivera</cp:lastModifiedBy>
  <cp:revision>0</cp:revision>
  <dcterms:created xsi:type="dcterms:W3CDTF">2026-08-30T21:50:46Z</dcterms:created>
  <dcterms:modified xsi:type="dcterms:W3CDTF">2026-09-14T00:25:53Z</dcterms:modified>
  <dc:language>en-US</dc:language>
</cp:coreProperties>
</file>