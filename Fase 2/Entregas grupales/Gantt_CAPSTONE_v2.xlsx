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X7dVHSugVlnZphchCftPgjDk5xTxLcNpkOIsij5JyC8="/>
    </ext>
  </extLst>
</workbook>
</file>

<file path=xl/sharedStrings.xml><?xml version="1.0" encoding="utf-8"?>
<sst xmlns="http://schemas.openxmlformats.org/spreadsheetml/2006/main" count="189" uniqueCount="88">
  <si>
    <t>Gestión de Proyecto con Carta Gantt</t>
  </si>
  <si>
    <t>Nombre del Proyecto</t>
  </si>
  <si>
    <t>TaskNode - Sistema de Gestión Operativa en Terreno</t>
  </si>
  <si>
    <t>Director(a) del Proyecto</t>
  </si>
  <si>
    <t>Sebastian Rivera</t>
  </si>
  <si>
    <t>Nombre Empresa Cliente</t>
  </si>
  <si>
    <t>__</t>
  </si>
  <si>
    <t>Fecha de Inicio de Formulación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</si>
  <si>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</si>
  <si>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</si>
  <si>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</si>
  <si>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</si>
  <si>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</si>
  <si>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</si>
  <si>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</si>
  <si>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</si>
  <si>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</si>
  <si>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</si>
  <si>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</si>
  <si>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</si>
  <si>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</si>
  <si>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</si>
  <si>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</si>
  <si>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</si>
  <si>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</si>
  <si>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</si>
  <si>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</si>
  <si>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</si>
  <si>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</si>
  <si>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</si>
  <si>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</si>
  <si>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L</t>
  </si>
  <si>
    <t>MA</t>
  </si>
  <si>
    <t>MI</t>
  </si>
  <si>
    <t>J</t>
  </si>
  <si>
    <t>V</t>
  </si>
  <si>
    <t>0</t>
  </si>
  <si>
    <t>FASE 0: Formulación y Propuesta</t>
  </si>
  <si>
    <t>Equipo</t>
  </si>
  <si>
    <t>0.1</t>
  </si>
  <si>
    <t>Levantamiento de Requerimientos y Definición de Alcance MVP</t>
  </si>
  <si>
    <t>Luciano Tejeda / Sebastián Rivera</t>
  </si>
  <si>
    <t>0.2</t>
  </si>
  <si>
    <t>Definición de Metodología Ágil (Scrum) y Herramientas de Trabajo</t>
  </si>
  <si>
    <t>0.3</t>
  </si>
  <si>
    <t>Elaboración de Matriz RACI y Plan de Trabajo (Cronograma)</t>
  </si>
  <si>
    <t>Sebastián Rivera</t>
  </si>
  <si>
    <t>0.4</t>
  </si>
  <si>
    <t>Diseño de Mockups y Prototipado UI/UX (Figma)</t>
  </si>
  <si>
    <t>Luciano Tejeda</t>
  </si>
  <si>
    <t>0.5</t>
  </si>
  <si>
    <t>Preparación y Presentación de la Propuesta (Defensa)</t>
  </si>
  <si>
    <t>1</t>
  </si>
  <si>
    <t>FASE 1: Fundaciones y Arquitectura Base</t>
  </si>
  <si>
    <t>1.1</t>
  </si>
  <si>
    <t>Configuración del Entorno, Repositorio y CI/CD</t>
  </si>
  <si>
    <t>1.2</t>
  </si>
  <si>
    <t>Diseño del Modelo Entidad-Relación y Multi-Tenant</t>
  </si>
  <si>
    <t>1.3</t>
  </si>
  <si>
    <t>Setup de Base de Datos (PostgreSQL) y ORM (SQLAlchemy)</t>
  </si>
  <si>
    <t>1.4</t>
  </si>
  <si>
    <t>Maquetación UI/UX del Cliente Móvil (a partir de Mockups)</t>
  </si>
  <si>
    <t>2</t>
  </si>
  <si>
    <t>FASE 2: Desarrollo Core y PWA (Offline-First)</t>
  </si>
  <si>
    <t>2.1</t>
  </si>
  <si>
    <t>Desarrollo de API REST (FastAPI) y Endpoints CRUD</t>
  </si>
  <si>
    <t>2.2</t>
  </si>
  <si>
    <t>Desarrollo Frontend PWA (Mobile-First)</t>
  </si>
  <si>
    <t>2.3</t>
  </si>
  <si>
    <t>Implementación de Service Workers (Sincronización Offline)</t>
  </si>
  <si>
    <t>2.4</t>
  </si>
  <si>
    <t>Integración Geoespacial (GPS) y Captura Fotográfica</t>
  </si>
  <si>
    <t>3</t>
  </si>
  <si>
    <t>FASE 3: Seguridad, Panel Administrativo, QA y Despliegue</t>
  </si>
  <si>
    <t>3.1</t>
  </si>
  <si>
    <t>Autenticación JWT y Gestión de Roles (Supervisor/Operario)</t>
  </si>
  <si>
    <t>3.2</t>
  </si>
  <si>
    <t>Implementación de Seguridad Multi-Tenant (RLS) en BD</t>
  </si>
  <si>
    <t>3.3</t>
  </si>
  <si>
    <t>Construcción del Dashboard Operativo Web (Supervisor)</t>
  </si>
  <si>
    <t>3.4</t>
  </si>
  <si>
    <t>Configuración de Almacenamiento de Objetos (S3 / Azure Blob)</t>
  </si>
  <si>
    <t>3.5</t>
  </si>
  <si>
    <t>Pruebas de Estrés (Backend) y QA End-to-End</t>
  </si>
  <si>
    <t>3.6</t>
  </si>
  <si>
    <t>Despliegue en la Nube (Ambiente de Producción)</t>
  </si>
  <si>
    <t>3.7</t>
  </si>
  <si>
    <t>Redacción del Informe de Título y Preparación Demo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</si>
</sst>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yyyy\-mm\-dd"/>
  </numFmts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8.0"/>
      <color rgb="FFFFFFFF"/>
      <name val="Arial"/>
    </font>
    <font>
      <b/>
      <sz val="7.0"/>
      <color rgb="FF000000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9.0"/>
      <color rgb="FFC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2E5395"/>
        <bgColor rgb="FF2E5395"/>
      </patternFill>
    </fill>
    <fill>
      <patternFill patternType="solid">
        <fgColor rgb="FFD9E2F3"/>
        <bgColor rgb="FFD9E2F3"/>
      </patternFill>
    </fill>
    <fill>
      <patternFill patternType="solid">
        <fgColor rgb="FF8EA9DB"/>
        <bgColor rgb="FF8EA9DB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0"/>
    </xf>
    <xf borderId="4" fillId="4" fontId="4" numFmtId="0" xfId="0" applyAlignment="1" applyBorder="1" applyFill="1" applyFont="1">
      <alignment horizontal="left" shrinkToFit="0" vertical="center" wrapText="0"/>
    </xf>
    <xf borderId="4" fillId="4" fontId="4" numFmtId="164" xfId="0" applyAlignment="1" applyBorder="1" applyFill="1" applyFont="1" applyNumberFormat="1">
      <alignment horizontal="left" shrinkToFit="0" vertical="center" wrapText="0"/>
    </xf>
    <xf borderId="0" fillId="0" fontId="5" numFmtId="165" xfId="0" applyAlignment="1" applyFont="1" applyNumberFormat="1">
      <alignment shrinkToFit="0" vertical="bottom" wrapText="0"/>
    </xf>
    <xf borderId="0" fillId="2" fontId="6" numFmtId="0" xfId="0" applyAlignment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5" fillId="6" fontId="6" numFmtId="0" xfId="0" applyAlignment="1" applyBorder="1" applyFill="1" applyFont="1">
      <alignment horizontal="center" shrinkToFit="0" vertical="center" wrapText="0"/>
    </xf>
    <xf borderId="7" fillId="7" fontId="7" numFmtId="0" xfId="0" applyAlignment="1" applyBorder="1" applyFill="1" applyFont="1">
      <alignment horizontal="center" shrinkToFit="0" vertical="center" wrapText="0"/>
    </xf>
    <xf borderId="8" fillId="7" fontId="7" numFmtId="0" xfId="0" applyAlignment="1" applyBorder="1" applyFill="1" applyFont="1">
      <alignment horizontal="center" shrinkToFit="0" vertical="center" wrapText="0"/>
    </xf>
    <xf borderId="9" fillId="8" fontId="3" numFmtId="0" xfId="0" applyAlignment="1" applyBorder="1" applyFill="1" applyFont="1">
      <alignment horizontal="center" shrinkToFit="0" vertical="center" wrapText="0"/>
    </xf>
    <xf borderId="9" fillId="8" fontId="3" numFmtId="0" xfId="0" applyAlignment="1" applyBorder="1" applyFill="1" applyFont="1">
      <alignment horizontal="left" shrinkToFit="0" vertical="center" wrapText="0"/>
    </xf>
    <xf borderId="9" fillId="8" fontId="4" numFmtId="0" xfId="0" applyAlignment="1" applyBorder="1" applyFill="1" applyFont="1">
      <alignment horizontal="center" shrinkToFit="0" vertical="center" wrapText="0"/>
    </xf>
    <xf borderId="9" fillId="8" fontId="4" numFmtId="164" xfId="0" applyAlignment="1" applyBorder="1" applyFill="1" applyFont="1" applyNumberFormat="1">
      <alignment horizontal="center" shrinkToFit="0" vertical="center" wrapText="0"/>
    </xf>
    <xf borderId="9" fillId="8" fontId="8" numFmtId="0" xfId="0" applyAlignment="1" applyBorder="1" applyFill="1" applyFont="1">
      <alignment horizontal="center" shrinkToFit="0" vertical="bottom" wrapText="0"/>
    </xf>
    <xf borderId="9" fillId="8" fontId="8" numFmtId="9" xfId="0" applyAlignment="1" applyBorder="1" applyFill="1" applyFont="1" applyNumberFormat="1">
      <alignment horizontal="center" readingOrder="0" shrinkToFit="0" vertical="bottom" wrapText="0"/>
    </xf>
    <xf borderId="7" fillId="0" fontId="9" numFmtId="0" xfId="0" applyBorder="1" applyFont="1"/>
    <xf borderId="8" fillId="0" fontId="9" numFmtId="0" xfId="0" applyBorder="1" applyFont="1"/>
    <xf borderId="7" fillId="0" fontId="5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9" fillId="0" fontId="4" numFmtId="164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horizontal="center" shrinkToFit="0" vertical="bottom" wrapText="0"/>
    </xf>
    <xf borderId="9" fillId="0" fontId="8" numFmtId="9" xfId="0" applyAlignment="1" applyBorder="1" applyFont="1" applyNumberFormat="1">
      <alignment horizontal="center" readingOrder="0" shrinkToFit="0" vertical="bottom" wrapText="0"/>
    </xf>
    <xf borderId="9" fillId="0" fontId="8" numFmtId="9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horizontal="left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8EA9DB"/>
          <bgColor rgb="FF8EA9DB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0"/>
    <col customWidth="1" min="2" max="2" width="6.0"/>
    <col customWidth="1" min="3" max="3" width="59.29"/>
    <col customWidth="1" min="4" max="4" width="17.29"/>
    <col customWidth="1" min="5" max="6" width="11.0"/>
    <col customWidth="1" min="7" max="7" width="9.0"/>
    <col customWidth="1" min="8" max="8" width="23.14"/>
    <col customWidth="1" min="9" max="93" width="2.57"/>
  </cols>
  <sheetData>
    <row r="1">
      <c r="B1" s="1" t="s">
        <v>0</v>
      </c>
      <c r="C1" s="2"/>
      <c r="D1" s="2"/>
      <c r="E1" s="2"/>
      <c r="F1" s="2"/>
      <c r="G1" s="2"/>
      <c r="H1" s="3"/>
    </row>
    <row r="2">
      <c r="B2" s="4" t="s">
        <v>1</v>
      </c>
      <c r="C2" s="5" t="s">
        <v>2</v>
      </c>
    </row>
    <row r="3">
      <c r="B3" s="4" t="s">
        <v>3</v>
      </c>
      <c r="C3" s="5" t="s">
        <v>4</v>
      </c>
    </row>
    <row r="4">
      <c r="B4" s="4" t="s">
        <v>5</v>
      </c>
      <c r="C4" s="5" t="s">
        <v>6</v>
      </c>
    </row>
    <row r="5">
      <c r="B5" s="4" t="s">
        <v>7</v>
      </c>
      <c r="C5" s="6">
        <v>46258.0</v>
      </c>
    </row>
    <row r="7" hidden="1">
      <c r="I7" s="7">
        <v>46258.0</v>
      </c>
      <c r="J7" s="7">
        <v>46259.0</v>
      </c>
      <c r="K7" s="7">
        <v>46260.0</v>
      </c>
      <c r="L7" s="7">
        <v>46261.0</v>
      </c>
      <c r="M7" s="7">
        <v>46262.0</v>
      </c>
      <c r="N7" s="7">
        <v>46265.0</v>
      </c>
      <c r="O7" s="7">
        <v>46266.0</v>
      </c>
      <c r="P7" s="7">
        <v>46267.0</v>
      </c>
      <c r="Q7" s="7">
        <v>46268.0</v>
      </c>
      <c r="R7" s="7">
        <v>46269.0</v>
      </c>
      <c r="S7" s="7">
        <v>46272.0</v>
      </c>
      <c r="T7" s="7">
        <v>46273.0</v>
      </c>
      <c r="U7" s="7">
        <v>46274.0</v>
      </c>
      <c r="V7" s="7">
        <v>46275.0</v>
      </c>
      <c r="W7" s="7">
        <v>46276.0</v>
      </c>
      <c r="X7" s="7">
        <v>46279.0</v>
      </c>
      <c r="Y7" s="7">
        <v>46280.0</v>
      </c>
      <c r="Z7" s="7">
        <v>46281.0</v>
      </c>
      <c r="AA7" s="7">
        <v>46282.0</v>
      </c>
      <c r="AB7" s="7">
        <v>46283.0</v>
      </c>
      <c r="AC7" s="7">
        <v>46286.0</v>
      </c>
      <c r="AD7" s="7">
        <v>46287.0</v>
      </c>
      <c r="AE7" s="7">
        <v>46288.0</v>
      </c>
      <c r="AF7" s="7">
        <v>46289.0</v>
      </c>
      <c r="AG7" s="7">
        <v>46290.0</v>
      </c>
      <c r="AH7" s="7">
        <v>46293.0</v>
      </c>
      <c r="AI7" s="7">
        <v>46294.0</v>
      </c>
      <c r="AJ7" s="7">
        <v>46295.0</v>
      </c>
      <c r="AK7" s="7">
        <v>46296.0</v>
      </c>
      <c r="AL7" s="7">
        <v>46297.0</v>
      </c>
      <c r="AM7" s="7">
        <v>46300.0</v>
      </c>
      <c r="AN7" s="7">
        <v>46301.0</v>
      </c>
      <c r="AO7" s="7">
        <v>46302.0</v>
      </c>
      <c r="AP7" s="7">
        <v>46303.0</v>
      </c>
      <c r="AQ7" s="7">
        <v>46304.0</v>
      </c>
      <c r="AR7" s="7">
        <v>46307.0</v>
      </c>
      <c r="AS7" s="7">
        <v>46308.0</v>
      </c>
      <c r="AT7" s="7">
        <v>46309.0</v>
      </c>
      <c r="AU7" s="7">
        <v>46310.0</v>
      </c>
      <c r="AV7" s="7">
        <v>46311.0</v>
      </c>
      <c r="AW7" s="7">
        <v>46314.0</v>
      </c>
      <c r="AX7" s="7">
        <v>46315.0</v>
      </c>
      <c r="AY7" s="7">
        <v>46316.0</v>
      </c>
      <c r="AZ7" s="7">
        <v>46317.0</v>
      </c>
      <c r="BA7" s="7">
        <v>46318.0</v>
      </c>
      <c r="BB7" s="7">
        <v>46321.0</v>
      </c>
      <c r="BC7" s="7">
        <v>46322.0</v>
      </c>
      <c r="BD7" s="7">
        <v>46323.0</v>
      </c>
      <c r="BE7" s="7">
        <v>46324.0</v>
      </c>
      <c r="BF7" s="7">
        <v>46325.0</v>
      </c>
      <c r="BG7" s="7">
        <v>46328.0</v>
      </c>
      <c r="BH7" s="7">
        <v>46329.0</v>
      </c>
      <c r="BI7" s="7">
        <v>46330.0</v>
      </c>
      <c r="BJ7" s="7">
        <v>46331.0</v>
      </c>
      <c r="BK7" s="7">
        <v>46332.0</v>
      </c>
      <c r="BL7" s="7">
        <v>46335.0</v>
      </c>
      <c r="BM7" s="7">
        <v>46336.0</v>
      </c>
      <c r="BN7" s="7">
        <v>46337.0</v>
      </c>
      <c r="BO7" s="7">
        <v>46338.0</v>
      </c>
      <c r="BP7" s="7">
        <v>46339.0</v>
      </c>
      <c r="BQ7" s="7">
        <v>46342.0</v>
      </c>
      <c r="BR7" s="7">
        <v>46343.0</v>
      </c>
      <c r="BS7" s="7">
        <v>46344.0</v>
      </c>
      <c r="BT7" s="7">
        <v>46345.0</v>
      </c>
      <c r="BU7" s="7">
        <v>46346.0</v>
      </c>
      <c r="BV7" s="7">
        <v>46349.0</v>
      </c>
      <c r="BW7" s="7">
        <v>46350.0</v>
      </c>
      <c r="BX7" s="7">
        <v>46351.0</v>
      </c>
      <c r="BY7" s="7">
        <v>46352.0</v>
      </c>
      <c r="BZ7" s="7">
        <v>46353.0</v>
      </c>
      <c r="CA7" s="7">
        <v>46356.0</v>
      </c>
      <c r="CB7" s="7">
        <v>46357.0</v>
      </c>
      <c r="CC7" s="7">
        <v>46358.0</v>
      </c>
      <c r="CD7" s="7">
        <v>46359.0</v>
      </c>
      <c r="CE7" s="7">
        <v>46360.0</v>
      </c>
      <c r="CF7" s="7">
        <v>46363.0</v>
      </c>
      <c r="CG7" s="7">
        <v>46364.0</v>
      </c>
      <c r="CH7" s="7">
        <v>46365.0</v>
      </c>
      <c r="CI7" s="7">
        <v>46366.0</v>
      </c>
      <c r="CJ7" s="7">
        <v>46367.0</v>
      </c>
      <c r="CK7" s="7">
        <v>46370.0</v>
      </c>
      <c r="CL7" s="7">
        <v>46371.0</v>
      </c>
      <c r="CM7" s="7">
        <v>46372.0</v>
      </c>
      <c r="CN7" s="7">
        <v>46373.0</v>
      </c>
      <c r="CO7" s="7">
        <v>46374.0</v>
      </c>
    </row>
    <row r="8" ht="15.0" customHeight="1">
      <c r="B8" s="8" t="s">
        <v>8</v>
      </c>
      <c r="C8" s="8" t="s">
        <v>9</v>
      </c>
      <c r="D8" s="8" t="s">
        <v>10</v>
      </c>
      <c r="E8" s="8" t="s">
        <v>11</v>
      </c>
      <c r="F8" s="8" t="s">
        <v>11</v>
      </c>
      <c r="G8" s="8" t="s">
        <v>12</v>
      </c>
      <c r="H8" s="8" t="s">
        <v>13</v>
      </c>
      <c r="I8" s="9" t="s">
        <v>14</v>
      </c>
      <c r="J8" s="10"/>
      <c r="K8" s="10"/>
      <c r="L8" s="10"/>
      <c r="M8" s="10"/>
      <c r="N8" s="9" t="s">
        <v>15</v>
      </c>
      <c r="O8" s="10"/>
      <c r="P8" s="10"/>
      <c r="Q8" s="10"/>
      <c r="R8" s="10"/>
      <c r="S8" s="9" t="s">
        <v>16</v>
      </c>
      <c r="T8" s="10"/>
      <c r="U8" s="10"/>
      <c r="V8" s="10"/>
      <c r="W8" s="10"/>
      <c r="X8" s="9" t="s">
        <v>17</v>
      </c>
      <c r="Y8" s="10"/>
      <c r="Z8" s="10"/>
      <c r="AA8" s="10"/>
      <c r="AB8" s="11"/>
      <c r="AC8" s="12" t="s">
        <v>18</v>
      </c>
      <c r="AD8" s="10"/>
      <c r="AE8" s="10"/>
      <c r="AF8" s="10"/>
      <c r="AG8" s="10"/>
      <c r="AH8" s="12" t="s">
        <v>19</v>
      </c>
      <c r="AI8" s="10"/>
      <c r="AJ8" s="10"/>
      <c r="AK8" s="10"/>
      <c r="AL8" s="10"/>
      <c r="AM8" s="12" t="s">
        <v>20</v>
      </c>
      <c r="AN8" s="10"/>
      <c r="AO8" s="10"/>
      <c r="AP8" s="10"/>
      <c r="AQ8" s="11"/>
      <c r="AR8" s="12" t="s">
        <v>21</v>
      </c>
      <c r="AS8" s="10"/>
      <c r="AT8" s="10"/>
      <c r="AU8" s="10"/>
      <c r="AV8" s="10"/>
      <c r="AW8" s="12" t="s">
        <v>22</v>
      </c>
      <c r="AX8" s="10"/>
      <c r="AY8" s="10"/>
      <c r="AZ8" s="10"/>
      <c r="BA8" s="10"/>
      <c r="BB8" s="12" t="s">
        <v>23</v>
      </c>
      <c r="BC8" s="10"/>
      <c r="BD8" s="10"/>
      <c r="BE8" s="10"/>
      <c r="BF8" s="10"/>
      <c r="BG8" s="12" t="s">
        <v>24</v>
      </c>
      <c r="BH8" s="10"/>
      <c r="BI8" s="10"/>
      <c r="BJ8" s="10"/>
      <c r="BK8" s="11"/>
      <c r="BL8" s="12" t="s">
        <v>25</v>
      </c>
      <c r="BM8" s="10"/>
      <c r="BN8" s="10"/>
      <c r="BO8" s="10"/>
      <c r="BP8" s="10"/>
      <c r="BQ8" s="12" t="s">
        <v>26</v>
      </c>
      <c r="BR8" s="10"/>
      <c r="BS8" s="10"/>
      <c r="BT8" s="10"/>
      <c r="BU8" s="10"/>
      <c r="BV8" s="12" t="s">
        <v>27</v>
      </c>
      <c r="BW8" s="10"/>
      <c r="BX8" s="10"/>
      <c r="BY8" s="10"/>
      <c r="BZ8" s="10"/>
      <c r="CA8" s="12" t="s">
        <v>28</v>
      </c>
      <c r="CB8" s="10"/>
      <c r="CC8" s="10"/>
      <c r="CD8" s="10"/>
      <c r="CE8" s="10"/>
      <c r="CF8" s="12" t="s">
        <v>29</v>
      </c>
      <c r="CG8" s="10"/>
      <c r="CH8" s="10"/>
      <c r="CI8" s="10"/>
      <c r="CJ8" s="10"/>
      <c r="CK8" s="12" t="s">
        <v>30</v>
      </c>
      <c r="CL8" s="10"/>
      <c r="CM8" s="10"/>
      <c r="CN8" s="10"/>
      <c r="CO8" s="10"/>
    </row>
    <row r="9">
      <c r="B9" s="10"/>
      <c r="C9" s="10"/>
      <c r="D9" s="10"/>
      <c r="E9" s="10"/>
      <c r="F9" s="10"/>
      <c r="G9" s="10"/>
      <c r="H9" s="10"/>
      <c r="I9" s="13" t="s">
        <v>31</v>
      </c>
      <c r="J9" s="13" t="s">
        <v>32</v>
      </c>
      <c r="K9" s="13" t="s">
        <v>33</v>
      </c>
      <c r="L9" s="13" t="s">
        <v>34</v>
      </c>
      <c r="M9" s="13" t="s">
        <v>35</v>
      </c>
      <c r="N9" s="13" t="s">
        <v>31</v>
      </c>
      <c r="O9" s="13" t="s">
        <v>32</v>
      </c>
      <c r="P9" s="13" t="s">
        <v>33</v>
      </c>
      <c r="Q9" s="13" t="s">
        <v>34</v>
      </c>
      <c r="R9" s="13" t="s">
        <v>35</v>
      </c>
      <c r="S9" s="13" t="s">
        <v>31</v>
      </c>
      <c r="T9" s="13" t="s">
        <v>32</v>
      </c>
      <c r="U9" s="13" t="s">
        <v>33</v>
      </c>
      <c r="V9" s="13" t="s">
        <v>34</v>
      </c>
      <c r="W9" s="13" t="s">
        <v>35</v>
      </c>
      <c r="X9" s="13" t="s">
        <v>31</v>
      </c>
      <c r="Y9" s="13" t="s">
        <v>32</v>
      </c>
      <c r="Z9" s="13" t="s">
        <v>33</v>
      </c>
      <c r="AA9" s="13" t="s">
        <v>34</v>
      </c>
      <c r="AB9" s="14" t="s">
        <v>35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31</v>
      </c>
      <c r="AI9" s="13" t="s">
        <v>32</v>
      </c>
      <c r="AJ9" s="13" t="s">
        <v>33</v>
      </c>
      <c r="AK9" s="13" t="s">
        <v>34</v>
      </c>
      <c r="AL9" s="13" t="s">
        <v>35</v>
      </c>
      <c r="AM9" s="13" t="s">
        <v>31</v>
      </c>
      <c r="AN9" s="13" t="s">
        <v>32</v>
      </c>
      <c r="AO9" s="13" t="s">
        <v>33</v>
      </c>
      <c r="AP9" s="13" t="s">
        <v>34</v>
      </c>
      <c r="AQ9" s="14" t="s">
        <v>35</v>
      </c>
      <c r="AR9" s="13" t="s">
        <v>31</v>
      </c>
      <c r="AS9" s="13" t="s">
        <v>32</v>
      </c>
      <c r="AT9" s="13" t="s">
        <v>33</v>
      </c>
      <c r="AU9" s="13" t="s">
        <v>34</v>
      </c>
      <c r="AV9" s="13" t="s">
        <v>35</v>
      </c>
      <c r="AW9" s="13" t="s">
        <v>31</v>
      </c>
      <c r="AX9" s="13" t="s">
        <v>32</v>
      </c>
      <c r="AY9" s="13" t="s">
        <v>33</v>
      </c>
      <c r="AZ9" s="13" t="s">
        <v>34</v>
      </c>
      <c r="BA9" s="13" t="s">
        <v>35</v>
      </c>
      <c r="BB9" s="13" t="s">
        <v>31</v>
      </c>
      <c r="BC9" s="13" t="s">
        <v>32</v>
      </c>
      <c r="BD9" s="13" t="s">
        <v>33</v>
      </c>
      <c r="BE9" s="13" t="s">
        <v>34</v>
      </c>
      <c r="BF9" s="13" t="s">
        <v>35</v>
      </c>
      <c r="BG9" s="13" t="s">
        <v>31</v>
      </c>
      <c r="BH9" s="13" t="s">
        <v>32</v>
      </c>
      <c r="BI9" s="13" t="s">
        <v>33</v>
      </c>
      <c r="BJ9" s="13" t="s">
        <v>34</v>
      </c>
      <c r="BK9" s="14" t="s">
        <v>35</v>
      </c>
      <c r="BL9" s="13" t="s">
        <v>31</v>
      </c>
      <c r="BM9" s="13" t="s">
        <v>32</v>
      </c>
      <c r="BN9" s="13" t="s">
        <v>33</v>
      </c>
      <c r="BO9" s="13" t="s">
        <v>34</v>
      </c>
      <c r="BP9" s="13" t="s">
        <v>35</v>
      </c>
      <c r="BQ9" s="13" t="s">
        <v>31</v>
      </c>
      <c r="BR9" s="13" t="s">
        <v>32</v>
      </c>
      <c r="BS9" s="13" t="s">
        <v>33</v>
      </c>
      <c r="BT9" s="13" t="s">
        <v>34</v>
      </c>
      <c r="BU9" s="13" t="s">
        <v>35</v>
      </c>
      <c r="BV9" s="13" t="s">
        <v>31</v>
      </c>
      <c r="BW9" s="13" t="s">
        <v>32</v>
      </c>
      <c r="BX9" s="13" t="s">
        <v>33</v>
      </c>
      <c r="BY9" s="13" t="s">
        <v>34</v>
      </c>
      <c r="BZ9" s="13" t="s">
        <v>35</v>
      </c>
      <c r="CA9" s="13" t="s">
        <v>31</v>
      </c>
      <c r="CB9" s="13" t="s">
        <v>32</v>
      </c>
      <c r="CC9" s="13" t="s">
        <v>33</v>
      </c>
      <c r="CD9" s="13" t="s">
        <v>34</v>
      </c>
      <c r="CE9" s="13" t="s">
        <v>35</v>
      </c>
      <c r="CF9" s="13" t="s">
        <v>31</v>
      </c>
      <c r="CG9" s="13" t="s">
        <v>32</v>
      </c>
      <c r="CH9" s="13" t="s">
        <v>33</v>
      </c>
      <c r="CI9" s="13" t="s">
        <v>34</v>
      </c>
      <c r="CJ9" s="13" t="s">
        <v>35</v>
      </c>
      <c r="CK9" s="13" t="s">
        <v>31</v>
      </c>
      <c r="CL9" s="13" t="s">
        <v>32</v>
      </c>
      <c r="CM9" s="13" t="s">
        <v>33</v>
      </c>
      <c r="CN9" s="13" t="s">
        <v>34</v>
      </c>
      <c r="CO9" s="13" t="s">
        <v>35</v>
      </c>
    </row>
    <row r="10">
      <c r="B10" s="15" t="s">
        <v>36</v>
      </c>
      <c r="C10" s="16" t="s">
        <v>37</v>
      </c>
      <c r="D10" s="17" t="s">
        <v>38</v>
      </c>
      <c r="E10" s="18">
        <v>46258.0</v>
      </c>
      <c r="F10" s="18">
        <v>46283.0</v>
      </c>
      <c r="G10" s="19">
        <f t="shared" ref="G10:G33" si="1">IF(F10-E10=0,"",F10-E10)</f>
        <v>25</v>
      </c>
      <c r="H10" s="20">
        <v>1.0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/>
      <c r="AC10" s="23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2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2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</row>
    <row r="11">
      <c r="B11" s="24" t="s">
        <v>39</v>
      </c>
      <c r="C11" s="25" t="s">
        <v>40</v>
      </c>
      <c r="D11" s="26" t="s">
        <v>41</v>
      </c>
      <c r="E11" s="27">
        <v>46258.0</v>
      </c>
      <c r="F11" s="27">
        <v>46262.0</v>
      </c>
      <c r="G11" s="28">
        <f t="shared" si="1"/>
        <v>4</v>
      </c>
      <c r="H11" s="29">
        <v>1.0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/>
      <c r="AC11" s="23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2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2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</row>
    <row r="12">
      <c r="B12" s="24" t="s">
        <v>42</v>
      </c>
      <c r="C12" s="25" t="s">
        <v>43</v>
      </c>
      <c r="D12" s="26" t="s">
        <v>41</v>
      </c>
      <c r="E12" s="27">
        <v>46258.0</v>
      </c>
      <c r="F12" s="27">
        <v>46262.0</v>
      </c>
      <c r="G12" s="28">
        <f t="shared" si="1"/>
        <v>4</v>
      </c>
      <c r="H12" s="29">
        <v>1.0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/>
      <c r="AC12" s="23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2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2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</row>
    <row r="13">
      <c r="B13" s="24" t="s">
        <v>44</v>
      </c>
      <c r="C13" s="25" t="s">
        <v>45</v>
      </c>
      <c r="D13" s="26" t="s">
        <v>46</v>
      </c>
      <c r="E13" s="27">
        <v>46265.0</v>
      </c>
      <c r="F13" s="27">
        <v>46269.0</v>
      </c>
      <c r="G13" s="28">
        <f t="shared" si="1"/>
        <v>4</v>
      </c>
      <c r="H13" s="29">
        <v>1.0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/>
      <c r="AC13" s="23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2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2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</row>
    <row r="14">
      <c r="B14" s="24" t="s">
        <v>47</v>
      </c>
      <c r="C14" s="25" t="s">
        <v>48</v>
      </c>
      <c r="D14" s="26" t="s">
        <v>49</v>
      </c>
      <c r="E14" s="27">
        <v>46265.0</v>
      </c>
      <c r="F14" s="27">
        <v>46276.0</v>
      </c>
      <c r="G14" s="28">
        <f t="shared" si="1"/>
        <v>11</v>
      </c>
      <c r="H14" s="29">
        <v>1.0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/>
      <c r="AC14" s="23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2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2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</row>
    <row r="15">
      <c r="B15" s="24" t="s">
        <v>50</v>
      </c>
      <c r="C15" s="25" t="s">
        <v>51</v>
      </c>
      <c r="D15" s="26" t="s">
        <v>41</v>
      </c>
      <c r="E15" s="27">
        <v>46279.0</v>
      </c>
      <c r="F15" s="27">
        <v>46283.0</v>
      </c>
      <c r="G15" s="28">
        <f t="shared" si="1"/>
        <v>4</v>
      </c>
      <c r="H15" s="29">
        <v>1.0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/>
      <c r="AC15" s="23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2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</row>
    <row r="16">
      <c r="B16" s="15" t="s">
        <v>52</v>
      </c>
      <c r="C16" s="16" t="s">
        <v>53</v>
      </c>
      <c r="D16" s="17" t="s">
        <v>38</v>
      </c>
      <c r="E16" s="18">
        <v>46286.0</v>
      </c>
      <c r="F16" s="18">
        <v>46304.0</v>
      </c>
      <c r="G16" s="19">
        <f t="shared" si="1"/>
        <v>18</v>
      </c>
      <c r="H16" s="20">
        <v>1.0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/>
      <c r="AC16" s="23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2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2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</row>
    <row r="17">
      <c r="B17" s="24" t="s">
        <v>54</v>
      </c>
      <c r="C17" s="25" t="s">
        <v>55</v>
      </c>
      <c r="D17" s="26" t="s">
        <v>46</v>
      </c>
      <c r="E17" s="27">
        <v>46286.0</v>
      </c>
      <c r="F17" s="27">
        <v>46290.0</v>
      </c>
      <c r="G17" s="28">
        <f t="shared" si="1"/>
        <v>4</v>
      </c>
      <c r="H17" s="29">
        <v>1.0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  <c r="AC17" s="23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2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</row>
    <row r="18">
      <c r="B18" s="24" t="s">
        <v>56</v>
      </c>
      <c r="C18" s="25" t="s">
        <v>57</v>
      </c>
      <c r="D18" s="26" t="s">
        <v>46</v>
      </c>
      <c r="E18" s="27">
        <v>46286.0</v>
      </c>
      <c r="F18" s="27">
        <v>46297.0</v>
      </c>
      <c r="G18" s="28">
        <f t="shared" si="1"/>
        <v>11</v>
      </c>
      <c r="H18" s="29">
        <v>1.0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/>
      <c r="AC18" s="23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2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2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</row>
    <row r="19">
      <c r="B19" s="24" t="s">
        <v>58</v>
      </c>
      <c r="C19" s="25" t="s">
        <v>59</v>
      </c>
      <c r="D19" s="26" t="s">
        <v>46</v>
      </c>
      <c r="E19" s="27">
        <v>46293.0</v>
      </c>
      <c r="F19" s="27">
        <v>46304.0</v>
      </c>
      <c r="G19" s="28">
        <f t="shared" si="1"/>
        <v>11</v>
      </c>
      <c r="H19" s="29">
        <v>1.0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/>
      <c r="AC19" s="23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2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2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</row>
    <row r="20">
      <c r="B20" s="24" t="s">
        <v>60</v>
      </c>
      <c r="C20" s="25" t="s">
        <v>61</v>
      </c>
      <c r="D20" s="26" t="s">
        <v>49</v>
      </c>
      <c r="E20" s="27">
        <v>46286.0</v>
      </c>
      <c r="F20" s="27">
        <v>46304.0</v>
      </c>
      <c r="G20" s="28">
        <f t="shared" si="1"/>
        <v>18</v>
      </c>
      <c r="H20" s="29">
        <v>1.0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2"/>
      <c r="AC20" s="23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2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2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</row>
    <row r="21" ht="15.75" customHeight="1">
      <c r="B21" s="15" t="s">
        <v>62</v>
      </c>
      <c r="C21" s="16" t="s">
        <v>63</v>
      </c>
      <c r="D21" s="17" t="s">
        <v>38</v>
      </c>
      <c r="E21" s="18">
        <v>46307.0</v>
      </c>
      <c r="F21" s="18">
        <v>46332.0</v>
      </c>
      <c r="G21" s="19">
        <f t="shared" si="1"/>
        <v>25</v>
      </c>
      <c r="H21" s="20">
        <v>0.8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2"/>
      <c r="AC21" s="23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2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2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</row>
    <row r="22" ht="15.75" customHeight="1">
      <c r="B22" s="24" t="s">
        <v>64</v>
      </c>
      <c r="C22" s="25" t="s">
        <v>65</v>
      </c>
      <c r="D22" s="26" t="s">
        <v>46</v>
      </c>
      <c r="E22" s="27">
        <v>46307.0</v>
      </c>
      <c r="F22" s="27">
        <v>46325.0</v>
      </c>
      <c r="G22" s="28">
        <f t="shared" si="1"/>
        <v>18</v>
      </c>
      <c r="H22" s="29">
        <v>1.0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2"/>
      <c r="AC22" s="23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2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2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</row>
    <row r="23" ht="15.75" customHeight="1">
      <c r="B23" s="24" t="s">
        <v>66</v>
      </c>
      <c r="C23" s="25" t="s">
        <v>67</v>
      </c>
      <c r="D23" s="26" t="s">
        <v>49</v>
      </c>
      <c r="E23" s="27">
        <v>46307.0</v>
      </c>
      <c r="F23" s="27">
        <v>46325.0</v>
      </c>
      <c r="G23" s="28">
        <f t="shared" si="1"/>
        <v>18</v>
      </c>
      <c r="H23" s="29">
        <v>1.0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2"/>
      <c r="AC23" s="23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2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2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</row>
    <row r="24" ht="15.75" customHeight="1">
      <c r="B24" s="24" t="s">
        <v>68</v>
      </c>
      <c r="C24" s="25" t="s">
        <v>69</v>
      </c>
      <c r="D24" s="26" t="s">
        <v>49</v>
      </c>
      <c r="E24" s="27">
        <v>46314.0</v>
      </c>
      <c r="F24" s="27">
        <v>46332.0</v>
      </c>
      <c r="G24" s="28">
        <f t="shared" si="1"/>
        <v>18</v>
      </c>
      <c r="H24" s="29">
        <v>0.0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2"/>
      <c r="AC24" s="23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2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2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</row>
    <row r="25" ht="15.75" customHeight="1">
      <c r="B25" s="24" t="s">
        <v>70</v>
      </c>
      <c r="C25" s="25" t="s">
        <v>71</v>
      </c>
      <c r="D25" s="26" t="s">
        <v>41</v>
      </c>
      <c r="E25" s="27">
        <v>46321.0</v>
      </c>
      <c r="F25" s="27">
        <v>46332.0</v>
      </c>
      <c r="G25" s="28">
        <f t="shared" si="1"/>
        <v>11</v>
      </c>
      <c r="H25" s="29">
        <v>1.0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2"/>
      <c r="AC25" s="23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2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2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</row>
    <row r="26" ht="15.75" customHeight="1">
      <c r="B26" s="15" t="s">
        <v>72</v>
      </c>
      <c r="C26" s="16" t="s">
        <v>73</v>
      </c>
      <c r="D26" s="17" t="s">
        <v>38</v>
      </c>
      <c r="E26" s="18">
        <v>46335.0</v>
      </c>
      <c r="F26" s="18">
        <v>46374.0</v>
      </c>
      <c r="G26" s="19">
        <f t="shared" si="1"/>
        <v>39</v>
      </c>
      <c r="H26" s="20">
        <v>0.2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2"/>
      <c r="AC26" s="23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2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2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</row>
    <row r="27" ht="15.75" customHeight="1">
      <c r="B27" s="24" t="s">
        <v>74</v>
      </c>
      <c r="C27" s="25" t="s">
        <v>75</v>
      </c>
      <c r="D27" s="26" t="s">
        <v>46</v>
      </c>
      <c r="E27" s="27">
        <v>46335.0</v>
      </c>
      <c r="F27" s="27">
        <v>46346.0</v>
      </c>
      <c r="G27" s="28">
        <f t="shared" si="1"/>
        <v>11</v>
      </c>
      <c r="H27" s="29">
        <v>0.5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  <c r="AC27" s="23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2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2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</row>
    <row r="28" ht="15.75" customHeight="1">
      <c r="B28" s="24" t="s">
        <v>76</v>
      </c>
      <c r="C28" s="25" t="s">
        <v>77</v>
      </c>
      <c r="D28" s="26" t="s">
        <v>46</v>
      </c>
      <c r="E28" s="27">
        <v>46335.0</v>
      </c>
      <c r="F28" s="27">
        <v>46346.0</v>
      </c>
      <c r="G28" s="28">
        <f t="shared" si="1"/>
        <v>11</v>
      </c>
      <c r="H28" s="29">
        <v>1.0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2"/>
      <c r="AC28" s="23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2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2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</row>
    <row r="29" ht="15.75" customHeight="1">
      <c r="B29" s="24" t="s">
        <v>78</v>
      </c>
      <c r="C29" s="25" t="s">
        <v>79</v>
      </c>
      <c r="D29" s="26" t="s">
        <v>49</v>
      </c>
      <c r="E29" s="27">
        <v>46342.0</v>
      </c>
      <c r="F29" s="27">
        <v>46360.0</v>
      </c>
      <c r="G29" s="28">
        <f t="shared" si="1"/>
        <v>18</v>
      </c>
      <c r="H29" s="29">
        <v>0.5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2"/>
      <c r="AC29" s="23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2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2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</row>
    <row r="30" ht="15.75" customHeight="1">
      <c r="B30" s="24" t="s">
        <v>80</v>
      </c>
      <c r="C30" s="25" t="s">
        <v>81</v>
      </c>
      <c r="D30" s="26" t="s">
        <v>46</v>
      </c>
      <c r="E30" s="27">
        <v>46349.0</v>
      </c>
      <c r="F30" s="27">
        <v>46353.0</v>
      </c>
      <c r="G30" s="28">
        <f t="shared" si="1"/>
        <v>4</v>
      </c>
      <c r="H30" s="30">
        <v>0.0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2"/>
      <c r="AC30" s="23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2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2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</row>
    <row r="31" ht="15.75" customHeight="1">
      <c r="B31" s="24" t="s">
        <v>82</v>
      </c>
      <c r="C31" s="25" t="s">
        <v>83</v>
      </c>
      <c r="D31" s="26" t="s">
        <v>49</v>
      </c>
      <c r="E31" s="27">
        <v>46356.0</v>
      </c>
      <c r="F31" s="27">
        <v>46367.0</v>
      </c>
      <c r="G31" s="28">
        <f t="shared" si="1"/>
        <v>11</v>
      </c>
      <c r="H31" s="30">
        <v>0.0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2"/>
      <c r="AC31" s="23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2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2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</row>
    <row r="32" ht="15.75" customHeight="1">
      <c r="B32" s="24" t="s">
        <v>84</v>
      </c>
      <c r="C32" s="25" t="s">
        <v>85</v>
      </c>
      <c r="D32" s="26" t="s">
        <v>46</v>
      </c>
      <c r="E32" s="27">
        <v>46363.0</v>
      </c>
      <c r="F32" s="27">
        <v>46367.0</v>
      </c>
      <c r="G32" s="28">
        <f t="shared" si="1"/>
        <v>4</v>
      </c>
      <c r="H32" s="30">
        <v>0.0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2"/>
      <c r="AC32" s="23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2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2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</row>
    <row r="33" ht="15.75" customHeight="1">
      <c r="B33" s="24" t="s">
        <v>86</v>
      </c>
      <c r="C33" s="25" t="s">
        <v>87</v>
      </c>
      <c r="D33" s="26" t="s">
        <v>41</v>
      </c>
      <c r="E33" s="27">
        <v>46363.0</v>
      </c>
      <c r="F33" s="27">
        <v>46374.0</v>
      </c>
      <c r="G33" s="28">
        <f t="shared" si="1"/>
        <v>11</v>
      </c>
      <c r="H33" s="30">
        <v>0.0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2"/>
      <c r="AC33" s="23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2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2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</row>
    <row r="34" ht="15.75" customHeight="1"/>
    <row r="35" ht="15.75" customHeight="1">
      <c r="B35" s="3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H1"/>
    <mergeCell ref="B8:B9"/>
    <mergeCell ref="C8:C9"/>
    <mergeCell ref="D8:D9"/>
    <mergeCell ref="E8:E9"/>
    <mergeCell ref="F8:F9"/>
    <mergeCell ref="G8:G9"/>
    <mergeCell ref="B35:H35"/>
    <mergeCell ref="H8:H9"/>
    <mergeCell ref="I8:M8"/>
    <mergeCell ref="N8:R8"/>
    <mergeCell ref="S8:W8"/>
    <mergeCell ref="X8:AB8"/>
    <mergeCell ref="AC8:AG8"/>
    <mergeCell ref="AH8:AL8"/>
    <mergeCell ref="BV8:BZ8"/>
    <mergeCell ref="CA8:CE8"/>
    <mergeCell ref="CF8:CJ8"/>
    <mergeCell ref="CK8:CO8"/>
    <mergeCell ref="AM8:AQ8"/>
    <mergeCell ref="AR8:AV8"/>
    <mergeCell ref="AW8:BA8"/>
    <mergeCell ref="BB8:BF8"/>
    <mergeCell ref="BG8:BK8"/>
    <mergeCell ref="BL8:BP8"/>
    <mergeCell ref="BQ8:BU8"/>
  </mergeCells>
  <conditionalFormatting sqref="I10:CO10">
    <cfRule type="expression" dxfId="0" priority="1">
      <formula>AND(I$7&gt;=$E10,I$7&lt;=$F10)</formula>
    </cfRule>
  </conditionalFormatting>
  <conditionalFormatting sqref="I11:CO11">
    <cfRule type="expression" dxfId="1" priority="2">
      <formula>AND(I$7&gt;=$E11,I$7&lt;=$F11)</formula>
    </cfRule>
  </conditionalFormatting>
  <conditionalFormatting sqref="I12:CO12">
    <cfRule type="expression" dxfId="1" priority="3">
      <formula>AND(I$7&gt;=$E12,I$7&lt;=$F12)</formula>
    </cfRule>
  </conditionalFormatting>
  <conditionalFormatting sqref="I13:CO13">
    <cfRule type="expression" dxfId="1" priority="4">
      <formula>AND(I$7&gt;=$E13,I$7&lt;=$F13)</formula>
    </cfRule>
  </conditionalFormatting>
  <conditionalFormatting sqref="I14:CO14">
    <cfRule type="expression" dxfId="1" priority="5">
      <formula>AND(I$7&gt;=$E14,I$7&lt;=$F14)</formula>
    </cfRule>
  </conditionalFormatting>
  <conditionalFormatting sqref="I15:CO15">
    <cfRule type="expression" dxfId="1" priority="6">
      <formula>AND(I$7&gt;=$E15,I$7&lt;=$F15)</formula>
    </cfRule>
  </conditionalFormatting>
  <conditionalFormatting sqref="I16:CO16">
    <cfRule type="expression" dxfId="0" priority="7">
      <formula>AND(I$7&gt;=$E16,I$7&lt;=$F16)</formula>
    </cfRule>
  </conditionalFormatting>
  <conditionalFormatting sqref="I17:CO17">
    <cfRule type="expression" dxfId="2" priority="8">
      <formula>AND(I$7&gt;=$E17,I$7&lt;=$F17)</formula>
    </cfRule>
  </conditionalFormatting>
  <conditionalFormatting sqref="I18:CO18">
    <cfRule type="expression" dxfId="2" priority="9">
      <formula>AND(I$7&gt;=$E18,I$7&lt;=$F18)</formula>
    </cfRule>
  </conditionalFormatting>
  <conditionalFormatting sqref="I19:CO19">
    <cfRule type="expression" dxfId="2" priority="10">
      <formula>AND(I$7&gt;=$E19,I$7&lt;=$F19)</formula>
    </cfRule>
  </conditionalFormatting>
  <conditionalFormatting sqref="I20:CO20">
    <cfRule type="expression" dxfId="2" priority="11">
      <formula>AND(I$7&gt;=$E20,I$7&lt;=$F20)</formula>
    </cfRule>
  </conditionalFormatting>
  <conditionalFormatting sqref="I21:CO21">
    <cfRule type="expression" dxfId="0" priority="12">
      <formula>AND(I$7&gt;=$E21,I$7&lt;=$F21)</formula>
    </cfRule>
  </conditionalFormatting>
  <conditionalFormatting sqref="I22:CO22">
    <cfRule type="expression" dxfId="2" priority="13">
      <formula>AND(I$7&gt;=$E22,I$7&lt;=$F22)</formula>
    </cfRule>
  </conditionalFormatting>
  <conditionalFormatting sqref="I23:CO23">
    <cfRule type="expression" dxfId="2" priority="14">
      <formula>AND(I$7&gt;=$E23,I$7&lt;=$F23)</formula>
    </cfRule>
  </conditionalFormatting>
  <conditionalFormatting sqref="I24:CO24">
    <cfRule type="expression" dxfId="2" priority="15">
      <formula>AND(I$7&gt;=$E24,I$7&lt;=$F24)</formula>
    </cfRule>
  </conditionalFormatting>
  <conditionalFormatting sqref="I25:CO25">
    <cfRule type="expression" dxfId="2" priority="16">
      <formula>AND(I$7&gt;=$E25,I$7&lt;=$F25)</formula>
    </cfRule>
  </conditionalFormatting>
  <conditionalFormatting sqref="I26:CO26">
    <cfRule type="expression" dxfId="0" priority="17">
      <formula>AND(I$7&gt;=$E26,I$7&lt;=$F26)</formula>
    </cfRule>
  </conditionalFormatting>
  <conditionalFormatting sqref="I27:CO27">
    <cfRule type="expression" dxfId="2" priority="18">
      <formula>AND(I$7&gt;=$E27,I$7&lt;=$F27)</formula>
    </cfRule>
  </conditionalFormatting>
  <conditionalFormatting sqref="I28:CO28">
    <cfRule type="expression" dxfId="2" priority="19">
      <formula>AND(I$7&gt;=$E28,I$7&lt;=$F28)</formula>
    </cfRule>
  </conditionalFormatting>
  <conditionalFormatting sqref="I29:CO29">
    <cfRule type="expression" dxfId="2" priority="20">
      <formula>AND(I$7&gt;=$E29,I$7&lt;=$F29)</formula>
    </cfRule>
  </conditionalFormatting>
  <conditionalFormatting sqref="I30:CO30">
    <cfRule type="expression" dxfId="2" priority="21">
      <formula>AND(I$7&gt;=$E30,I$7&lt;=$F30)</formula>
    </cfRule>
  </conditionalFormatting>
  <conditionalFormatting sqref="I31:CO31">
    <cfRule type="expression" dxfId="2" priority="22">
      <formula>AND(I$7&gt;=$E31,I$7&lt;=$F31)</formula>
    </cfRule>
  </conditionalFormatting>
  <conditionalFormatting sqref="I32:CO32">
    <cfRule type="expression" dxfId="2" priority="23">
      <formula>AND(I$7&gt;=$E32,I$7&lt;=$F32)</formula>
    </cfRule>
  </conditionalFormatting>
  <conditionalFormatting sqref="I33:CO33">
    <cfRule type="expression" dxfId="2" priority="24">
      <formula>AND(I$7&gt;=$E33,I$7&lt;=$F33)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2026-08-30T21:50:46Z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